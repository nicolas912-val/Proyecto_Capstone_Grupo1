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https://duoccl0-my.sharepoint.com/personal/elia_gonzalezg_profesor_duoc_cl/Documents/1_Docencia/capstone2026/FASE1 INFORMES/g1_educaTIC/"/>
    </mc:Choice>
  </mc:AlternateContent>
  <xr:revisionPtr revIDLastSave="8" documentId="13_ncr:1_{1DCD7A72-0A3A-084C-B763-91D69BB83C3E}" xr6:coauthVersionLast="47" xr6:coauthVersionMax="47" xr10:uidLastSave="{79CE2656-904C-2B49-ADCF-1E07E52CDE8D}"/>
  <bookViews>
    <workbookView xWindow="0" yWindow="1860" windowWidth="32380" windowHeight="1938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I19" i="1"/>
  <c r="J19" i="1"/>
  <c r="K19" i="1" s="1"/>
  <c r="D17" i="1"/>
  <c r="E17" i="1" s="1"/>
  <c r="F17" i="1"/>
  <c r="G17" i="1" s="1"/>
  <c r="H17" i="1"/>
  <c r="I17" i="1" s="1"/>
  <c r="J17" i="1"/>
  <c r="K17" i="1" s="1"/>
  <c r="F31" i="1"/>
  <c r="G31" i="1" s="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D15" i="1"/>
  <c r="E15" i="1" s="1"/>
  <c r="D16" i="1"/>
  <c r="E16" i="1" s="1"/>
  <c r="E18" i="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I18" i="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<sst xmlns="http://schemas.openxmlformats.org/spreadsheetml/2006/main" count="160" uniqueCount="99">
  <si>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</si>
  <si>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</si>
  <si>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</si>
  <si>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</si>
  <si>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</si>
  <si>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</si>
  <si>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</si>
  <si>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</si>
  <si>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</si>
  <si>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</si>
  <si>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</si>
  <si>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</si>
  <si>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</si>
  <si>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</si>
  <si>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</si>
  <si>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</si>
  <si>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</si>
  <si>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</si>
  <si>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</si>
  <si>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</si>
  <si>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</si>
  <si>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</si>
  <si>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</si>
  <si>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</si>
  <si>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</si>
  <si>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</si>
  <si>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</si>
  <si>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</si>
  <si>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</si>
  <si>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</si>
  <si>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</si>
  <si>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</si>
  <si>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</si>
  <si>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</si>
  <si>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</si>
  <si>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</si>
  <si>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</si>
  <si>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</si>
  <si>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</si>
  <si>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</si>
  <si>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</si>
  <si>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</si>
  <si>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</si>
  <si>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</si>
  <si>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</si>
  <si>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</si>
  <si>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</si>
  <si>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</si>
  <si>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</si>
  <si>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</si>
  <si>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</si>
  <si>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</si>
  <si>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</si>
  <si>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</si>
  <si>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</si>
  <si>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</si>
  <si>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</si>
  <si>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</si>
  <si>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</si>
  <si>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</si>
  <si>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</si>
  <si>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</si>
  <si>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</si>
  <si>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</si>
  <si>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</si>
  <si>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</si>
  <si>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</si>
  <si>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</si>
  <si>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</si>
  <si>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</si>
  <si>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</si>
  <si>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</si>
  <si>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</si>
  <si>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</si>
  <si>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</si>
  <si>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</si>
  <si>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</si>
  <si>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</si>
  <si>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</si>
  <si>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</si>
  <si>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</si>
  <si>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</si>
  <si>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</si>
  <si>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</si>
  <si>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</si>
  <si>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</si>
  <si>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</si>
  <si>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</si>
  <si>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</si>
  <si>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</si>
  <si>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</si>
  <si>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</si>
  <si>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</si>
  <si>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</si>
  <si>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</si>
  <si>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</si>
  <si>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 xml:space="preserve">nicolas valenzuela </t>
  </si>
  <si>
    <t xml:space="preserve">Diego martinez </t>
  </si>
  <si>
    <t xml:space="preserve">Jonathan  Araneda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</si>
</sst>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3" zoomScale="140" zoomScaleNormal="140" workbookViewId="0">
      <selection activeCell="E19" sqref="E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97</v>
      </c>
      <c r="C4" s="6">
        <f>EVALUACION1!$C$24</f>
        <v>7</v>
      </c>
      <c r="D4" s="6">
        <f>$C$35</f>
        <v>7</v>
      </c>
      <c r="E4" s="43">
        <f>C4*C$2+D4*D$2</f>
        <v>7</v>
      </c>
      <c r="G4" s="1"/>
    </row>
    <row r="5" spans="1:11" x14ac:dyDescent="0.2">
      <c r="A5" s="5">
        <v>2</v>
      </c>
      <c r="B5" s="32" t="s">
        <v>98</v>
      </c>
      <c r="C5" s="6">
        <f>EVALUACION1!$C$24</f>
        <v>7</v>
      </c>
      <c r="D5" s="6">
        <f>C47</f>
        <v>7</v>
      </c>
      <c r="E5" s="43">
        <f t="shared" ref="E5:E6" si="0">C5*C$2+D5*D$2</f>
        <v>7</v>
      </c>
      <c r="G5" s="1"/>
    </row>
    <row r="6" spans="1:11" x14ac:dyDescent="0.2">
      <c r="A6" s="5">
        <v>3</v>
      </c>
      <c r="B6" s="32" t="s">
        <v>96</v>
      </c>
      <c r="C6" s="6">
        <f>EVALUACION1!$C$24</f>
        <v>7</v>
      </c>
      <c r="D6" s="6">
        <f>C58</f>
        <v>7</v>
      </c>
      <c r="E6" s="43">
        <f t="shared" si="0"/>
        <v>7</v>
      </c>
      <c r="G6" s="1"/>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
        <v>95</v>
      </c>
      <c r="E14" s="16">
        <f t="shared" ref="E14" si="6">IF(D14="X",100*0.05,"")</f>
        <v>5</v>
      </c>
      <c r="F14" s="16"/>
      <c r="G14" s="16" t="str">
        <f t="shared" ref="G14" si="7">IF(F14="X",60*0.05,"")</f>
        <v/>
      </c>
      <c r="H14" s="16"/>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20">IF(D18="X",100*0.1,"")</f>
        <v>10</v>
      </c>
      <c r="F18" s="16" t="str">
        <f t="shared" si="14"/>
        <v/>
      </c>
      <c r="G18" s="16" t="str">
        <f t="shared" ref="G18" si="21">IF(F18="X",60*0.1,"")</f>
        <v/>
      </c>
      <c r="H18" s="16"/>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
        <v>95</v>
      </c>
      <c r="E19" s="16">
        <f>IF(D19="X",100*0.05,"")</f>
        <v>5</v>
      </c>
      <c r="F19" s="16" t="str">
        <f t="shared" si="14"/>
        <v/>
      </c>
      <c r="G19" s="16" t="str">
        <f t="shared" ref="G19" si="23">IF(F19="X",60*0.05,"")</f>
        <v/>
      </c>
      <c r="H19" s="16"/>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25">
      <c r="A24" s="50"/>
      <c r="B24" s="36" t="s">
        <v>12</v>
      </c>
      <c r="C24" s="20">
        <f>VLOOKUP(C23,ESCALA_IEP!A2:B142,2,FALSE)</f>
        <v>7</v>
      </c>
    </row>
    <row r="25" spans="1:11" ht="15.75" customHeight="1" x14ac:dyDescent="0.2"/>
    <row r="26" spans="1:11" ht="15.75" customHeight="1" x14ac:dyDescent="0.2"/>
    <row r="27" spans="1:11" ht="15.75" customHeight="1" x14ac:dyDescent="0.2">
      <c r="A27" s="60" t="s">
        <v>13</v>
      </c>
      <c r="B27" s="49" t="s">
        <v>14</v>
      </c>
      <c r="C27" s="52" t="str">
        <f>$B$4</f>
        <v xml:space="preserve">Diego martinez </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0"/>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 xml:space="preserve">Jonathan  Araneda </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0"/>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t="str">
        <f>B6</f>
        <v xml:space="preserve">nicolas valenzuela </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60"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8559AD10BB8994EAB51E48F3FE516F0" ma:contentTypeVersion="7" ma:contentTypeDescription="Crear nuevo documento." ma:contentTypeScope="" ma:versionID="aee1bae0cac77f8d1a33841f1f51fa60">
  <xsd:schema xmlns:xsd="http://www.w3.org/2001/XMLSchema" xmlns:xs="http://www.w3.org/2001/XMLSchema" xmlns:p="http://schemas.microsoft.com/office/2006/metadata/properties" xmlns:ns2="a8b789d3-4977-4032-a1ae-10fbefa8a500" targetNamespace="http://schemas.microsoft.com/office/2006/metadata/properties" ma:root="true" ma:fieldsID="a69aba43700eb607e621f55ababe616d" ns2:_="">
    <xsd:import namespace="a8b789d3-4977-4032-a1ae-10fbefa8a5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b789d3-4977-4032-a1ae-10fbefa8a5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E522DD-9F68-463A-9532-7CEFA95BBB8E}">
  <ds:schemaRefs>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purl.org/dc/dcmitype/"/>
    <ds:schemaRef ds:uri="a8b789d3-4977-4032-a1ae-10fbefa8a500"/>
    <ds:schemaRef ds:uri="http://purl.org/dc/elements/1.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DAB0DCEA-9587-4368-AF7C-F4EF3B009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b789d3-4977-4032-a1ae-10fbefa8a5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9CEA1-16FC-42A5-A091-924743A85D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2026-09-30T00:24:14Z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0x01010048559AD10BB8994EAB51E48F3FE516F0</vt:lpwstr>
  </property>
</Properties>
</file>